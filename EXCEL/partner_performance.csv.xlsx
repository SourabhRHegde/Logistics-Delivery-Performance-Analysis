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Jaiuria\Capstone_Project\"/>
    </mc:Choice>
  </mc:AlternateContent>
  <xr:revisionPtr revIDLastSave="0" documentId="13_ncr:9_{EDC9D1DA-1C28-4D14-B2D4-79137448844D}" xr6:coauthVersionLast="47" xr6:coauthVersionMax="47" xr10:uidLastSave="{00000000-0000-0000-0000-000000000000}"/>
  <bookViews>
    <workbookView xWindow="0" yWindow="0" windowWidth="23040" windowHeight="12960" xr2:uid="{343D7106-F43B-4E25-A3B8-216816D96812}"/>
  </bookViews>
  <sheets>
    <sheet name="partner_performance" sheetId="1" r:id="rId1"/>
    <sheet name="Performance_Score_Table" sheetId="2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4" i="2"/>
  <c r="F5" i="2"/>
  <c r="F6" i="2"/>
  <c r="F7" i="2"/>
  <c r="F8" i="2"/>
  <c r="F9" i="2"/>
  <c r="F10" i="2"/>
  <c r="F11" i="2"/>
  <c r="F4" i="2"/>
</calcChain>
</file>

<file path=xl/sharedStrings.xml><?xml version="1.0" encoding="utf-8"?>
<sst xmlns="http://schemas.openxmlformats.org/spreadsheetml/2006/main" count="38" uniqueCount="25">
  <si>
    <t>PartnerName</t>
  </si>
  <si>
    <t>ServiceTier</t>
  </si>
  <si>
    <t>Stated_OTR_pct</t>
  </si>
  <si>
    <t>Total_Orders</t>
  </si>
  <si>
    <t>Late_Orders</t>
  </si>
  <si>
    <t>Actual_LateRate_pct</t>
  </si>
  <si>
    <t>Avg_Feedback</t>
  </si>
  <si>
    <t>SpeedPost Courier</t>
  </si>
  <si>
    <t>Economy</t>
  </si>
  <si>
    <t>Dunzo Logistics</t>
  </si>
  <si>
    <t>Shadowfax</t>
  </si>
  <si>
    <t>XpressBees</t>
  </si>
  <si>
    <t>Ekart Logistics</t>
  </si>
  <si>
    <t>Standard</t>
  </si>
  <si>
    <t>Ecom Express</t>
  </si>
  <si>
    <t>Delhivery</t>
  </si>
  <si>
    <t>BlueDart Express</t>
  </si>
  <si>
    <t>Premium</t>
  </si>
  <si>
    <t>Row Labels</t>
  </si>
  <si>
    <t>Grand Total</t>
  </si>
  <si>
    <t>Sum of Actual_LateRate_pct</t>
  </si>
  <si>
    <t>Sum of Avg_Feedback</t>
  </si>
  <si>
    <t>Sum of Late_Orders</t>
  </si>
  <si>
    <t>Performance_Score</t>
  </si>
  <si>
    <t>Performance_Status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</si>
</sst>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pivotButton="1" applyBorder="1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18" fillId="33" borderId="10" xfId="0" applyFont="1" applyFill="1" applyBorder="1"/>
    <xf numFmtId="0" fontId="16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Stated</a:t>
            </a:r>
            <a:r>
              <a:rPr lang="en-IN" baseline="0"/>
              <a:t> OTR vs Actual Late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partner_performance!$C$1</c:f>
              <c:strCache>
                <c:ptCount val="1"/>
                <c:pt idx="0">
                  <c:v>Stated_OTR_pct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partner_performance!$A$2:$A$9</c:f>
              <c:strCache>
                <c:ptCount val="8"/>
                <c:pt idx="0">
                  <c:v>SpeedPost Courier</c:v>
                </c:pt>
                <c:pt idx="1">
                  <c:v>Dunzo Logistics</c:v>
                </c:pt>
                <c:pt idx="2">
                  <c:v>Shadowfax</c:v>
                </c:pt>
                <c:pt idx="3">
                  <c:v>XpressBees</c:v>
                </c:pt>
                <c:pt idx="4">
                  <c:v>Ekart Logistics</c:v>
                </c:pt>
                <c:pt idx="5">
                  <c:v>Ecom Express</c:v>
                </c:pt>
                <c:pt idx="6">
                  <c:v>Delhivery</c:v>
                </c:pt>
                <c:pt idx="7">
                  <c:v>BlueDart Express</c:v>
                </c:pt>
              </c:strCache>
            </c:strRef>
          </c:cat>
          <c:val>
            <c:numRef>
              <c:f>partner_performance!$C$2:$C$9</c:f>
              <c:numCache>
                <c:formatCode>General</c:formatCode>
                <c:ptCount val="8"/>
                <c:pt idx="0">
                  <c:v>68</c:v>
                </c:pt>
                <c:pt idx="1">
                  <c:v>72</c:v>
                </c:pt>
                <c:pt idx="2">
                  <c:v>78</c:v>
                </c:pt>
                <c:pt idx="3">
                  <c:v>81</c:v>
                </c:pt>
                <c:pt idx="4">
                  <c:v>84</c:v>
                </c:pt>
                <c:pt idx="5">
                  <c:v>86</c:v>
                </c:pt>
                <c:pt idx="6">
                  <c:v>89</c:v>
                </c:pt>
                <c:pt idx="7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C-4A08-9229-254E8725DC7E}"/>
            </c:ext>
          </c:extLst>
        </c:ser>
        <c:ser>
          <c:idx val="1"/>
          <c:order val="1"/>
          <c:tx>
            <c:strRef>
              <c:f>partner_performance!$F$1</c:f>
              <c:strCache>
                <c:ptCount val="1"/>
                <c:pt idx="0">
                  <c:v>Actual_LateRate_pct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partner_performance!$A$2:$A$9</c:f>
              <c:strCache>
                <c:ptCount val="8"/>
                <c:pt idx="0">
                  <c:v>SpeedPost Courier</c:v>
                </c:pt>
                <c:pt idx="1">
                  <c:v>Dunzo Logistics</c:v>
                </c:pt>
                <c:pt idx="2">
                  <c:v>Shadowfax</c:v>
                </c:pt>
                <c:pt idx="3">
                  <c:v>XpressBees</c:v>
                </c:pt>
                <c:pt idx="4">
                  <c:v>Ekart Logistics</c:v>
                </c:pt>
                <c:pt idx="5">
                  <c:v>Ecom Express</c:v>
                </c:pt>
                <c:pt idx="6">
                  <c:v>Delhivery</c:v>
                </c:pt>
                <c:pt idx="7">
                  <c:v>BlueDart Express</c:v>
                </c:pt>
              </c:strCache>
            </c:strRef>
          </c:cat>
          <c:val>
            <c:numRef>
              <c:f>partner_performance!$F$2:$F$9</c:f>
              <c:numCache>
                <c:formatCode>General</c:formatCode>
                <c:ptCount val="8"/>
                <c:pt idx="0">
                  <c:v>55.11</c:v>
                </c:pt>
                <c:pt idx="1">
                  <c:v>48.63</c:v>
                </c:pt>
                <c:pt idx="2">
                  <c:v>45.9</c:v>
                </c:pt>
                <c:pt idx="3">
                  <c:v>42.37</c:v>
                </c:pt>
                <c:pt idx="4">
                  <c:v>39.840000000000003</c:v>
                </c:pt>
                <c:pt idx="5">
                  <c:v>36.32</c:v>
                </c:pt>
                <c:pt idx="6">
                  <c:v>32.590000000000003</c:v>
                </c:pt>
                <c:pt idx="7">
                  <c:v>27.94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C-4A08-9229-254E8725D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2226543"/>
        <c:axId val="512227023"/>
        <c:axId val="0"/>
      </c:bar3DChart>
      <c:catAx>
        <c:axId val="51222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27023"/>
        <c:crosses val="autoZero"/>
        <c:auto val="1"/>
        <c:lblAlgn val="ctr"/>
        <c:lblOffset val="100"/>
        <c:noMultiLvlLbl val="0"/>
      </c:catAx>
      <c:valAx>
        <c:axId val="51222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2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10</xdr:row>
      <xdr:rowOff>41910</xdr:rowOff>
    </xdr:from>
    <xdr:to>
      <xdr:col>6</xdr:col>
      <xdr:colOff>68580</xdr:colOff>
      <xdr:row>25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9F4AC-D1F9-AA51-F752-B4992BAB9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5.084080671295" createdVersion="8" refreshedVersion="8" minRefreshableVersion="3" recordCount="8" xr:uid="{3F49D308-9F7C-4448-9F85-A0D646671567}">
  <cacheSource type="worksheet">
    <worksheetSource ref="A1:G9" sheet="partner_performance"/>
  </cacheSource>
  <cacheFields count="7">
    <cacheField name="PartnerName" numFmtId="0">
      <sharedItems count="8">
        <s v="SpeedPost Courier"/>
        <s v="Dunzo Logistics"/>
        <s v="Shadowfax"/>
        <s v="XpressBees"/>
        <s v="Ekart Logistics"/>
        <s v="Ecom Express"/>
        <s v="Delhivery"/>
        <s v="BlueDart Express"/>
      </sharedItems>
    </cacheField>
    <cacheField name="ServiceTier" numFmtId="0">
      <sharedItems/>
    </cacheField>
    <cacheField name="Stated_OTR_pct" numFmtId="0">
      <sharedItems containsSemiMixedTypes="0" containsString="0" containsNumber="1" containsInteger="1" minValue="68" maxValue="96"/>
    </cacheField>
    <cacheField name="Total_Orders" numFmtId="0">
      <sharedItems containsSemiMixedTypes="0" containsString="0" containsNumber="1" containsInteger="1" minValue="617" maxValue="2366"/>
    </cacheField>
    <cacheField name="Late_Orders" numFmtId="0">
      <sharedItems containsSemiMixedTypes="0" containsString="0" containsNumber="1" containsInteger="1" minValue="340" maxValue="876"/>
    </cacheField>
    <cacheField name="Actual_LateRate_pct" numFmtId="0">
      <sharedItems containsSemiMixedTypes="0" containsString="0" containsNumber="1" minValue="27.94" maxValue="55.11"/>
    </cacheField>
    <cacheField name="Avg_Feedback" numFmtId="0">
      <sharedItems containsSemiMixedTypes="0" containsString="0" containsNumber="1" minValue="3.06" maxValue="3.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conomy"/>
    <n v="68"/>
    <n v="617"/>
    <n v="340"/>
    <n v="55.11"/>
    <n v="3.06"/>
  </r>
  <r>
    <x v="1"/>
    <s v="Economy"/>
    <n v="72"/>
    <n v="987"/>
    <n v="480"/>
    <n v="48.63"/>
    <n v="3.18"/>
  </r>
  <r>
    <x v="2"/>
    <s v="Economy"/>
    <n v="78"/>
    <n v="1170"/>
    <n v="537"/>
    <n v="45.9"/>
    <n v="3.29"/>
  </r>
  <r>
    <x v="3"/>
    <s v="Economy"/>
    <n v="81"/>
    <n v="1435"/>
    <n v="608"/>
    <n v="42.37"/>
    <n v="3.3"/>
  </r>
  <r>
    <x v="4"/>
    <s v="Standard"/>
    <n v="84"/>
    <n v="2199"/>
    <n v="876"/>
    <n v="39.840000000000003"/>
    <n v="3.38"/>
  </r>
  <r>
    <x v="5"/>
    <s v="Standard"/>
    <n v="86"/>
    <n v="1429"/>
    <n v="519"/>
    <n v="36.32"/>
    <n v="3.41"/>
  </r>
  <r>
    <x v="6"/>
    <s v="Standard"/>
    <n v="89"/>
    <n v="2366"/>
    <n v="771"/>
    <n v="32.590000000000003"/>
    <n v="3.45"/>
  </r>
  <r>
    <x v="7"/>
    <s v="Premium"/>
    <n v="96"/>
    <n v="1797"/>
    <n v="502"/>
    <n v="27.94"/>
    <n v="3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85F96-4D78-4D3A-ACD7-AB9435C284E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12" firstHeaderRow="0" firstDataRow="1" firstDataCol="1"/>
  <pivotFields count="7">
    <pivotField axis="axisRow" showAll="0">
      <items count="9">
        <item x="7"/>
        <item x="6"/>
        <item x="1"/>
        <item x="5"/>
        <item x="4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tual_LateRate_pct" fld="5" baseField="0" baseItem="0"/>
    <dataField name="Sum of Avg_Feedback" fld="6" baseField="0" baseItem="0"/>
    <dataField name="Sum of Late_Orders" fld="4" baseField="0" baseItem="0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8C4F-6B74-4DAC-B28E-5410789C8A61}">
  <dimension ref="A1:G9"/>
  <sheetViews>
    <sheetView showGridLines="0" tabSelected="1" workbookViewId="0">
      <selection activeCell="J12" sqref="J12:J13"/>
    </sheetView>
  </sheetViews>
  <sheetFormatPr defaultRowHeight="14.4" x14ac:dyDescent="0.3"/>
  <cols>
    <col min="1" max="1" width="16" bestFit="1" customWidth="1"/>
    <col min="2" max="2" width="11" bestFit="1" customWidth="1"/>
    <col min="3" max="3" width="16" bestFit="1" customWidth="1"/>
    <col min="4" max="4" width="13.21875" bestFit="1" customWidth="1"/>
    <col min="5" max="5" width="12.21875" bestFit="1" customWidth="1"/>
    <col min="6" max="6" width="20.33203125" bestFit="1" customWidth="1"/>
    <col min="7" max="7" width="14.21875" bestFit="1" customWidth="1"/>
  </cols>
  <sheetData>
    <row r="1" spans="1:7" ht="15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2" t="s">
        <v>7</v>
      </c>
      <c r="B2" s="2" t="s">
        <v>8</v>
      </c>
      <c r="C2" s="2">
        <v>68</v>
      </c>
      <c r="D2" s="2">
        <v>617</v>
      </c>
      <c r="E2" s="2">
        <v>340</v>
      </c>
      <c r="F2" s="2">
        <v>55.11</v>
      </c>
      <c r="G2" s="2">
        <v>3.06</v>
      </c>
    </row>
    <row r="3" spans="1:7" x14ac:dyDescent="0.3">
      <c r="A3" s="2" t="s">
        <v>9</v>
      </c>
      <c r="B3" s="2" t="s">
        <v>8</v>
      </c>
      <c r="C3" s="2">
        <v>72</v>
      </c>
      <c r="D3" s="2">
        <v>987</v>
      </c>
      <c r="E3" s="2">
        <v>480</v>
      </c>
      <c r="F3" s="2">
        <v>48.63</v>
      </c>
      <c r="G3" s="2">
        <v>3.18</v>
      </c>
    </row>
    <row r="4" spans="1:7" x14ac:dyDescent="0.3">
      <c r="A4" s="2" t="s">
        <v>10</v>
      </c>
      <c r="B4" s="2" t="s">
        <v>8</v>
      </c>
      <c r="C4" s="2">
        <v>78</v>
      </c>
      <c r="D4" s="2">
        <v>1170</v>
      </c>
      <c r="E4" s="2">
        <v>537</v>
      </c>
      <c r="F4" s="2">
        <v>45.9</v>
      </c>
      <c r="G4" s="2">
        <v>3.29</v>
      </c>
    </row>
    <row r="5" spans="1:7" x14ac:dyDescent="0.3">
      <c r="A5" s="2" t="s">
        <v>11</v>
      </c>
      <c r="B5" s="2" t="s">
        <v>8</v>
      </c>
      <c r="C5" s="2">
        <v>81</v>
      </c>
      <c r="D5" s="2">
        <v>1435</v>
      </c>
      <c r="E5" s="2">
        <v>608</v>
      </c>
      <c r="F5" s="2">
        <v>42.37</v>
      </c>
      <c r="G5" s="2">
        <v>3.3</v>
      </c>
    </row>
    <row r="6" spans="1:7" x14ac:dyDescent="0.3">
      <c r="A6" s="2" t="s">
        <v>12</v>
      </c>
      <c r="B6" s="2" t="s">
        <v>13</v>
      </c>
      <c r="C6" s="2">
        <v>84</v>
      </c>
      <c r="D6" s="2">
        <v>2199</v>
      </c>
      <c r="E6" s="2">
        <v>876</v>
      </c>
      <c r="F6" s="2">
        <v>39.840000000000003</v>
      </c>
      <c r="G6" s="2">
        <v>3.38</v>
      </c>
    </row>
    <row r="7" spans="1:7" x14ac:dyDescent="0.3">
      <c r="A7" s="2" t="s">
        <v>14</v>
      </c>
      <c r="B7" s="2" t="s">
        <v>13</v>
      </c>
      <c r="C7" s="2">
        <v>86</v>
      </c>
      <c r="D7" s="2">
        <v>1429</v>
      </c>
      <c r="E7" s="2">
        <v>519</v>
      </c>
      <c r="F7" s="2">
        <v>36.32</v>
      </c>
      <c r="G7" s="2">
        <v>3.41</v>
      </c>
    </row>
    <row r="8" spans="1:7" x14ac:dyDescent="0.3">
      <c r="A8" s="2" t="s">
        <v>15</v>
      </c>
      <c r="B8" s="2" t="s">
        <v>13</v>
      </c>
      <c r="C8" s="2">
        <v>89</v>
      </c>
      <c r="D8" s="2">
        <v>2366</v>
      </c>
      <c r="E8" s="2">
        <v>771</v>
      </c>
      <c r="F8" s="2">
        <v>32.590000000000003</v>
      </c>
      <c r="G8" s="2">
        <v>3.45</v>
      </c>
    </row>
    <row r="9" spans="1:7" x14ac:dyDescent="0.3">
      <c r="A9" s="2" t="s">
        <v>16</v>
      </c>
      <c r="B9" s="2" t="s">
        <v>17</v>
      </c>
      <c r="C9" s="2">
        <v>96</v>
      </c>
      <c r="D9" s="2">
        <v>1797</v>
      </c>
      <c r="E9" s="2">
        <v>502</v>
      </c>
      <c r="F9" s="2">
        <v>27.94</v>
      </c>
      <c r="G9" s="2">
        <v>3.58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6A89-C67B-4610-9D47-6E3266C6FB8F}">
  <dimension ref="B3:G12"/>
  <sheetViews>
    <sheetView showGridLines="0" workbookViewId="0">
      <selection activeCell="C23" sqref="C23"/>
    </sheetView>
  </sheetViews>
  <sheetFormatPr defaultRowHeight="14.4" x14ac:dyDescent="0.3"/>
  <cols>
    <col min="2" max="2" width="16" bestFit="1" customWidth="1"/>
    <col min="3" max="3" width="25.109375" bestFit="1" customWidth="1"/>
    <col min="4" max="4" width="19.88671875" bestFit="1" customWidth="1"/>
    <col min="5" max="5" width="17.77734375" bestFit="1" customWidth="1"/>
    <col min="6" max="6" width="17.33203125" bestFit="1" customWidth="1"/>
    <col min="7" max="7" width="17.77734375" bestFit="1" customWidth="1"/>
  </cols>
  <sheetData>
    <row r="3" spans="2:7" x14ac:dyDescent="0.3">
      <c r="B3" s="1" t="s">
        <v>18</v>
      </c>
      <c r="C3" s="2" t="s">
        <v>20</v>
      </c>
      <c r="D3" s="2" t="s">
        <v>21</v>
      </c>
      <c r="E3" s="2" t="s">
        <v>22</v>
      </c>
      <c r="F3" s="3" t="s">
        <v>23</v>
      </c>
      <c r="G3" s="7" t="s">
        <v>24</v>
      </c>
    </row>
    <row r="4" spans="2:7" x14ac:dyDescent="0.3">
      <c r="B4" s="4" t="s">
        <v>16</v>
      </c>
      <c r="C4" s="5">
        <v>27.94</v>
      </c>
      <c r="D4" s="5">
        <v>3.58</v>
      </c>
      <c r="E4" s="5">
        <v>502</v>
      </c>
      <c r="F4" s="2">
        <f>(100-C4)*0.6+(D4*8)</f>
        <v>71.876000000000005</v>
      </c>
      <c r="G4" s="2" t="str">
        <f>IF(C4&gt;40,"Critical",IF(C4&gt;30,"Watch","Acceptable"))</f>
        <v>Acceptable</v>
      </c>
    </row>
    <row r="5" spans="2:7" x14ac:dyDescent="0.3">
      <c r="B5" s="4" t="s">
        <v>15</v>
      </c>
      <c r="C5" s="5">
        <v>32.590000000000003</v>
      </c>
      <c r="D5" s="5">
        <v>3.45</v>
      </c>
      <c r="E5" s="5">
        <v>771</v>
      </c>
      <c r="F5" s="2">
        <f t="shared" ref="F5:F11" si="0">(100-C5)*0.6+(D5*8)</f>
        <v>68.045999999999992</v>
      </c>
      <c r="G5" s="2" t="str">
        <f t="shared" ref="G5:G11" si="1">IF(C5&gt;40,"Critical",IF(C5&gt;30,"Watch","Acceptable"))</f>
        <v>Watch</v>
      </c>
    </row>
    <row r="6" spans="2:7" x14ac:dyDescent="0.3">
      <c r="B6" s="4" t="s">
        <v>9</v>
      </c>
      <c r="C6" s="5">
        <v>48.63</v>
      </c>
      <c r="D6" s="5">
        <v>3.18</v>
      </c>
      <c r="E6" s="5">
        <v>480</v>
      </c>
      <c r="F6" s="2">
        <f t="shared" si="0"/>
        <v>56.262</v>
      </c>
      <c r="G6" s="2" t="str">
        <f t="shared" si="1"/>
        <v>Critical</v>
      </c>
    </row>
    <row r="7" spans="2:7" x14ac:dyDescent="0.3">
      <c r="B7" s="4" t="s">
        <v>14</v>
      </c>
      <c r="C7" s="5">
        <v>36.32</v>
      </c>
      <c r="D7" s="5">
        <v>3.41</v>
      </c>
      <c r="E7" s="5">
        <v>519</v>
      </c>
      <c r="F7" s="2">
        <f t="shared" si="0"/>
        <v>65.488</v>
      </c>
      <c r="G7" s="2" t="str">
        <f t="shared" si="1"/>
        <v>Watch</v>
      </c>
    </row>
    <row r="8" spans="2:7" x14ac:dyDescent="0.3">
      <c r="B8" s="4" t="s">
        <v>12</v>
      </c>
      <c r="C8" s="5">
        <v>39.840000000000003</v>
      </c>
      <c r="D8" s="5">
        <v>3.38</v>
      </c>
      <c r="E8" s="5">
        <v>876</v>
      </c>
      <c r="F8" s="2">
        <f t="shared" si="0"/>
        <v>63.135999999999996</v>
      </c>
      <c r="G8" s="2" t="str">
        <f t="shared" si="1"/>
        <v>Watch</v>
      </c>
    </row>
    <row r="9" spans="2:7" x14ac:dyDescent="0.3">
      <c r="B9" s="4" t="s">
        <v>10</v>
      </c>
      <c r="C9" s="5">
        <v>45.9</v>
      </c>
      <c r="D9" s="5">
        <v>3.29</v>
      </c>
      <c r="E9" s="5">
        <v>537</v>
      </c>
      <c r="F9" s="2">
        <f t="shared" si="0"/>
        <v>58.78</v>
      </c>
      <c r="G9" s="2" t="str">
        <f t="shared" si="1"/>
        <v>Critical</v>
      </c>
    </row>
    <row r="10" spans="2:7" x14ac:dyDescent="0.3">
      <c r="B10" s="4" t="s">
        <v>7</v>
      </c>
      <c r="C10" s="5">
        <v>55.11</v>
      </c>
      <c r="D10" s="5">
        <v>3.06</v>
      </c>
      <c r="E10" s="5">
        <v>340</v>
      </c>
      <c r="F10" s="2">
        <f t="shared" si="0"/>
        <v>51.414000000000001</v>
      </c>
      <c r="G10" s="2" t="str">
        <f t="shared" si="1"/>
        <v>Critical</v>
      </c>
    </row>
    <row r="11" spans="2:7" x14ac:dyDescent="0.3">
      <c r="B11" s="4" t="s">
        <v>11</v>
      </c>
      <c r="C11" s="5">
        <v>42.37</v>
      </c>
      <c r="D11" s="5">
        <v>3.3</v>
      </c>
      <c r="E11" s="5">
        <v>608</v>
      </c>
      <c r="F11" s="2">
        <f t="shared" si="0"/>
        <v>60.978000000000002</v>
      </c>
      <c r="G11" s="2" t="str">
        <f t="shared" si="1"/>
        <v>Critical</v>
      </c>
    </row>
    <row r="12" spans="2:7" x14ac:dyDescent="0.3">
      <c r="B12" s="4" t="s">
        <v>19</v>
      </c>
      <c r="C12" s="5">
        <v>328.7</v>
      </c>
      <c r="D12" s="5">
        <v>26.65</v>
      </c>
      <c r="E12" s="5">
        <v>4633</v>
      </c>
      <c r="F12" s="2"/>
      <c r="G12" s="2"/>
    </row>
  </sheetData>
  <conditionalFormatting pivot="1" sqref="C4:C11">
    <cfRule type="cellIs" dxfId="1" priority="2" operator="greaterThan">
      <formula>40</formula>
    </cfRule>
  </conditionalFormatting>
  <conditionalFormatting pivot="1" sqref="C4:C11">
    <cfRule type="cellIs" dxfId="0" priority="1" operator="lessThan">
      <formula>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partner_performance</vt:lpstr>
      <vt:lpstr>Performance_Score_Table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HEGDE</cp:lastModifiedBy>
  <dcterms:created xsi:type="dcterms:W3CDTF">2026-03-13T20:27:58Z</dcterms:created>
  <dcterms:modified xsi:type="dcterms:W3CDTF">2026-03-13T23:21:00Z</dcterms:modified>
</cp:coreProperties>
</file>